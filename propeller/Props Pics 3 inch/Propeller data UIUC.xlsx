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ei\Desktop\MATLAB\PhD MATLAB Projects\6DoF-XDrone\propeller\Props Pics 3 inch\"/>
    </mc:Choice>
  </mc:AlternateContent>
  <xr:revisionPtr revIDLastSave="0" documentId="13_ncr:1_{83D8F5F2-9680-4B9B-8393-5D68A2B3D8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3" i="1"/>
  <c r="G4" i="1"/>
  <c r="G5" i="1"/>
  <c r="G3" i="1"/>
  <c r="E5" i="1"/>
  <c r="E4" i="1"/>
  <c r="E3" i="1"/>
  <c r="J4" i="1"/>
  <c r="J5" i="1"/>
  <c r="J3" i="1"/>
  <c r="D4" i="1"/>
  <c r="D5" i="1"/>
  <c r="D3" i="1"/>
</calcChain>
</file>

<file path=xl/sharedStrings.xml><?xml version="1.0" encoding="utf-8"?>
<sst xmlns="http://schemas.openxmlformats.org/spreadsheetml/2006/main" count="15" uniqueCount="15">
  <si>
    <t>C_T_0</t>
  </si>
  <si>
    <t>C_P_0</t>
  </si>
  <si>
    <t>Propeller</t>
  </si>
  <si>
    <t>GWS3x2</t>
  </si>
  <si>
    <t xml:space="preserve">C_T/C_P </t>
  </si>
  <si>
    <t>GWS3x3</t>
  </si>
  <si>
    <t>MI3.2x2.2</t>
  </si>
  <si>
    <t>J_max</t>
  </si>
  <si>
    <t>eta_max</t>
  </si>
  <si>
    <t>J_0/J_max</t>
  </si>
  <si>
    <t>J0 @ eta_max</t>
  </si>
  <si>
    <t>C_P @ J_max</t>
  </si>
  <si>
    <t>J_approx</t>
  </si>
  <si>
    <t>Correction</t>
  </si>
  <si>
    <t>1- C_P/C_Pmax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</si>
</sst>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205" zoomScaleNormal="205" workbookViewId="0">
      <selection activeCell="H8" sqref="H8"/>
    </sheetView>
  </sheetViews>
  <sheetFormatPr defaultRowHeight="14.5" x14ac:dyDescent="0.35"/>
  <cols>
    <col min="1" max="1" width="10" customWidth="1"/>
    <col min="9" max="9" width="10.90625" customWidth="1"/>
    <col min="10" max="10" width="9.36328125" customWidth="1"/>
    <col min="11" max="11" width="13.1796875" customWidth="1"/>
  </cols>
  <sheetData>
    <row r="1" spans="1:12" x14ac:dyDescent="0.35">
      <c r="A1" t="s">
        <v>2</v>
      </c>
      <c r="B1" t="s">
        <v>0</v>
      </c>
      <c r="C1" t="s">
        <v>1</v>
      </c>
      <c r="D1" t="s">
        <v>4</v>
      </c>
      <c r="E1" t="s">
        <v>12</v>
      </c>
      <c r="F1" t="s">
        <v>7</v>
      </c>
      <c r="G1" t="s">
        <v>13</v>
      </c>
      <c r="H1" t="s">
        <v>8</v>
      </c>
      <c r="I1" t="s">
        <v>10</v>
      </c>
      <c r="J1" t="s">
        <v>9</v>
      </c>
      <c r="K1" t="s">
        <v>11</v>
      </c>
      <c r="L1" t="s">
        <v>14</v>
      </c>
    </row>
    <row r="3" spans="1:12" x14ac:dyDescent="0.35">
      <c r="A3" s="1" t="s">
        <v>3</v>
      </c>
      <c r="B3" s="1">
        <v>0.13500000000000001</v>
      </c>
      <c r="C3" s="1">
        <v>7.0000000000000007E-2</v>
      </c>
      <c r="D3" s="1">
        <f>B3/C3</f>
        <v>1.9285714285714286</v>
      </c>
      <c r="E3" s="1">
        <f>2/3</f>
        <v>0.66666666666666663</v>
      </c>
      <c r="F3" s="1">
        <v>0.65</v>
      </c>
      <c r="G3" s="1">
        <f>F3/E3</f>
        <v>0.97500000000000009</v>
      </c>
      <c r="H3" s="1">
        <v>0.56999999999999995</v>
      </c>
      <c r="I3" s="1">
        <v>0.46</v>
      </c>
      <c r="J3">
        <f>I3/F3</f>
        <v>0.70769230769230773</v>
      </c>
      <c r="K3" s="1">
        <v>2.5000000000000001E-2</v>
      </c>
      <c r="L3">
        <f>1 - K3/C3</f>
        <v>0.64285714285714279</v>
      </c>
    </row>
    <row r="4" spans="1:12" x14ac:dyDescent="0.35">
      <c r="A4" s="1" t="s">
        <v>5</v>
      </c>
      <c r="B4" s="1">
        <v>0.193</v>
      </c>
      <c r="C4" s="1">
        <v>0.14099999999999999</v>
      </c>
      <c r="D4" s="1">
        <f t="shared" ref="D4:D5" si="0">B4/C4</f>
        <v>1.3687943262411348</v>
      </c>
      <c r="E4" s="1">
        <f>3/3</f>
        <v>1</v>
      </c>
      <c r="F4" s="1">
        <v>0.95</v>
      </c>
      <c r="G4" s="1">
        <f t="shared" ref="G4:G5" si="1">F4/E4</f>
        <v>0.95</v>
      </c>
      <c r="H4" s="1">
        <v>0.68</v>
      </c>
      <c r="I4" s="1">
        <v>0.68</v>
      </c>
      <c r="J4">
        <f>I4/F4</f>
        <v>0.71578947368421064</v>
      </c>
      <c r="K4" s="1">
        <v>3.5000000000000003E-2</v>
      </c>
      <c r="L4">
        <f t="shared" ref="L4:L5" si="2">1 - K4/C4</f>
        <v>0.75177304964539005</v>
      </c>
    </row>
    <row r="5" spans="1:12" x14ac:dyDescent="0.35">
      <c r="A5" s="1" t="s">
        <v>6</v>
      </c>
      <c r="B5" s="1">
        <v>0.11799999999999999</v>
      </c>
      <c r="C5" s="1">
        <v>5.7000000000000002E-2</v>
      </c>
      <c r="D5" s="1">
        <f t="shared" si="0"/>
        <v>2.070175438596491</v>
      </c>
      <c r="E5" s="1">
        <f>2.2/3.2</f>
        <v>0.6875</v>
      </c>
      <c r="F5" s="1">
        <v>0.67</v>
      </c>
      <c r="G5" s="1">
        <f t="shared" si="1"/>
        <v>0.9745454545454546</v>
      </c>
      <c r="H5" s="1">
        <v>0.6</v>
      </c>
      <c r="I5" s="1">
        <v>0.44</v>
      </c>
      <c r="J5">
        <f>I5/F5</f>
        <v>0.65671641791044777</v>
      </c>
      <c r="K5" s="1">
        <v>2.5999999999999999E-2</v>
      </c>
      <c r="L5">
        <f t="shared" si="2"/>
        <v>0.54385964912280704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Mitrea</dc:creator>
  <cp:lastModifiedBy>Andrei Mitrea</cp:lastModifiedBy>
  <dcterms:created xsi:type="dcterms:W3CDTF">2015-06-05T18:17:20Z</dcterms:created>
  <dcterms:modified xsi:type="dcterms:W3CDTF">2026-03-02T21:18:53Z</dcterms:modified>
</cp:coreProperties>
</file>